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qi/Desktop/"/>
    </mc:Choice>
  </mc:AlternateContent>
  <xr:revisionPtr revIDLastSave="0" documentId="13_ncr:1_{5198C6DB-6BB4-F248-A67F-99073ACBDED2}" xr6:coauthVersionLast="47" xr6:coauthVersionMax="47" xr10:uidLastSave="{00000000-0000-0000-0000-000000000000}"/>
  <bookViews>
    <workbookView xWindow="32480" yWindow="4120" windowWidth="28040" windowHeight="17440" xr2:uid="{71E92C66-F9D2-354E-A71D-0826875A9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M9" i="1"/>
  <c r="L10" i="1"/>
  <c r="M10" i="1"/>
  <c r="L11" i="1"/>
  <c r="M11" i="1"/>
  <c r="L12" i="1"/>
  <c r="M12" i="1"/>
  <c r="L13" i="1"/>
  <c r="M13" i="1"/>
  <c r="M8" i="1"/>
  <c r="M4" i="1"/>
  <c r="J4" i="1"/>
  <c r="K4" i="1"/>
  <c r="L4" i="1"/>
  <c r="J10" i="1"/>
  <c r="I9" i="1"/>
  <c r="J9" i="1"/>
  <c r="K9" i="1"/>
  <c r="I10" i="1"/>
  <c r="K10" i="1"/>
  <c r="I11" i="1"/>
  <c r="J11" i="1"/>
  <c r="K11" i="1"/>
  <c r="I12" i="1"/>
  <c r="J12" i="1"/>
  <c r="K12" i="1"/>
  <c r="I13" i="1"/>
  <c r="J13" i="1"/>
  <c r="K13" i="1"/>
  <c r="J8" i="1"/>
  <c r="K8" i="1"/>
  <c r="L8" i="1"/>
  <c r="G9" i="1"/>
  <c r="G10" i="1"/>
  <c r="H10" i="1"/>
  <c r="G11" i="1"/>
  <c r="H11" i="1"/>
  <c r="G12" i="1"/>
  <c r="H12" i="1"/>
  <c r="G13" i="1"/>
  <c r="H13" i="1"/>
  <c r="H8" i="1"/>
  <c r="H4" i="1"/>
  <c r="H9" i="1" s="1"/>
  <c r="I4" i="1"/>
  <c r="D9" i="1"/>
  <c r="G8" i="1"/>
  <c r="E8" i="1"/>
  <c r="F8" i="1"/>
  <c r="E10" i="1"/>
  <c r="F10" i="1"/>
  <c r="E11" i="1"/>
  <c r="F11" i="1"/>
  <c r="E12" i="1"/>
  <c r="F12" i="1"/>
  <c r="E13" i="1"/>
  <c r="F13" i="1"/>
  <c r="D10" i="1"/>
  <c r="D11" i="1"/>
  <c r="D12" i="1"/>
  <c r="D13" i="1"/>
  <c r="D8" i="1"/>
  <c r="D4" i="1"/>
  <c r="D5" i="1" s="1"/>
  <c r="E4" i="1"/>
  <c r="E6" i="1" s="1"/>
  <c r="F4" i="1"/>
  <c r="F5" i="1" s="1"/>
  <c r="C4" i="1"/>
  <c r="G2" i="1"/>
  <c r="G4" i="1" s="1"/>
  <c r="I8" i="1" l="1"/>
  <c r="F9" i="1"/>
  <c r="E9" i="1"/>
  <c r="G5" i="1"/>
  <c r="G6" i="1"/>
  <c r="D6" i="1"/>
  <c r="F6" i="1"/>
  <c r="E5" i="1"/>
</calcChain>
</file>

<file path=xl/sharedStrings.xml><?xml version="1.0" encoding="utf-8"?>
<sst xmlns="http://schemas.openxmlformats.org/spreadsheetml/2006/main" count="21" uniqueCount="14">
  <si>
    <t>x</t>
  </si>
  <si>
    <t>r</t>
  </si>
  <si>
    <t>1-exr</t>
  </si>
  <si>
    <t>mean</t>
  </si>
  <si>
    <t>CI</t>
  </si>
  <si>
    <t>Ci</t>
  </si>
  <si>
    <t>change r</t>
  </si>
  <si>
    <t>original</t>
  </si>
  <si>
    <t>2099 (RCP8.5, % 2099 global GDP)</t>
  </si>
  <si>
    <t>Labor disutility cost of climate change</t>
  </si>
  <si>
    <t>2099 (RCP4.5, % 2099 global GDP)</t>
  </si>
  <si>
    <t>Global average value of thermal comfort</t>
  </si>
  <si>
    <t>in a low-risk job (% annual income)</t>
  </si>
  <si>
    <t>change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</si>
</sst>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165" fontId="0" fillId="0" borderId="0" xfId="0" applyNumberFormat="1" applyBorder="1"/>
    <xf numFmtId="165" fontId="0" fillId="0" borderId="3" xfId="0" applyNumberForma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38AE-8324-8D46-8B88-92AF557DF827}">
  <dimension ref="A1:M24"/>
  <sheetViews>
    <sheetView tabSelected="1" workbookViewId="0">
      <selection activeCell="L18" sqref="L18"/>
    </sheetView>
  </sheetViews>
  <sheetFormatPr baseColWidth="10" defaultRowHeight="16" x14ac:dyDescent="0.2"/>
  <cols>
    <col min="1" max="1" width="35.5" customWidth="1"/>
  </cols>
  <sheetData>
    <row r="1" spans="1:13" x14ac:dyDescent="0.2">
      <c r="D1" s="7" t="s">
        <v>7</v>
      </c>
      <c r="E1" s="7"/>
      <c r="F1" s="7"/>
      <c r="G1" s="7"/>
      <c r="H1" s="7" t="s">
        <v>6</v>
      </c>
      <c r="I1" s="7"/>
      <c r="J1" s="7"/>
      <c r="K1" s="7" t="s">
        <v>13</v>
      </c>
      <c r="L1" s="7"/>
      <c r="M1" s="7"/>
    </row>
    <row r="2" spans="1:13" ht="19" x14ac:dyDescent="0.25">
      <c r="B2" s="10" t="s">
        <v>0</v>
      </c>
      <c r="C2">
        <v>0</v>
      </c>
      <c r="D2">
        <v>0.5</v>
      </c>
      <c r="E2">
        <v>1.5</v>
      </c>
      <c r="F2">
        <v>3</v>
      </c>
      <c r="G2">
        <f>-2/3</f>
        <v>-0.66666666666666663</v>
      </c>
      <c r="H2">
        <v>0.5</v>
      </c>
      <c r="I2">
        <v>0.5</v>
      </c>
      <c r="J2">
        <v>0.5</v>
      </c>
      <c r="K2">
        <v>9.9999999999999995E-7</v>
      </c>
      <c r="L2">
        <v>1E-3</v>
      </c>
      <c r="M2">
        <v>5</v>
      </c>
    </row>
    <row r="3" spans="1:13" ht="19" x14ac:dyDescent="0.25">
      <c r="B3" s="10" t="s">
        <v>1</v>
      </c>
      <c r="C3">
        <v>0</v>
      </c>
      <c r="D3">
        <v>0.35</v>
      </c>
      <c r="E3">
        <v>0.35</v>
      </c>
      <c r="F3">
        <v>0.35</v>
      </c>
      <c r="G3">
        <v>0.35</v>
      </c>
      <c r="H3">
        <v>0.55000000000000004</v>
      </c>
      <c r="I3">
        <v>0.75</v>
      </c>
      <c r="J3">
        <v>0.95</v>
      </c>
      <c r="K3">
        <v>0.35</v>
      </c>
      <c r="L3">
        <v>0.35</v>
      </c>
      <c r="M3">
        <v>0.35</v>
      </c>
    </row>
    <row r="4" spans="1:13" s="5" customFormat="1" ht="19" x14ac:dyDescent="0.25">
      <c r="B4" s="11" t="s">
        <v>2</v>
      </c>
      <c r="C4" s="5">
        <f>1-0.5*C3*C2</f>
        <v>1</v>
      </c>
      <c r="D4" s="5">
        <f t="shared" ref="D4:G4" si="0">1-0.5*D3*D2</f>
        <v>0.91249999999999998</v>
      </c>
      <c r="E4" s="5">
        <f t="shared" si="0"/>
        <v>0.73750000000000004</v>
      </c>
      <c r="F4" s="5">
        <f t="shared" si="0"/>
        <v>0.47500000000000009</v>
      </c>
      <c r="G4" s="5">
        <f t="shared" si="0"/>
        <v>1.1166666666666667</v>
      </c>
      <c r="H4" s="5">
        <f t="shared" ref="H4" si="1">1-0.5*H3*H2</f>
        <v>0.86250000000000004</v>
      </c>
      <c r="I4" s="5">
        <f t="shared" ref="I4" si="2">1-0.5*I3*I2</f>
        <v>0.8125</v>
      </c>
      <c r="J4" s="5">
        <f t="shared" ref="J4" si="3">1-0.5*J3*J2</f>
        <v>0.76249999999999996</v>
      </c>
      <c r="K4" s="5">
        <f t="shared" ref="K4" si="4">1-0.5*K3*K2</f>
        <v>0.99999982499999995</v>
      </c>
      <c r="L4" s="5">
        <f t="shared" ref="L4:M4" si="5">1-0.5*L3*L2</f>
        <v>0.99982499999999996</v>
      </c>
      <c r="M4" s="5">
        <f t="shared" si="5"/>
        <v>0.125</v>
      </c>
    </row>
    <row r="5" spans="1:13" x14ac:dyDescent="0.2">
      <c r="A5">
        <v>1</v>
      </c>
      <c r="B5" s="2" t="s">
        <v>3</v>
      </c>
      <c r="C5" s="3"/>
      <c r="D5" s="3">
        <f>$C$5*D4</f>
        <v>0</v>
      </c>
      <c r="E5" s="3">
        <f>$C$5*E4</f>
        <v>0</v>
      </c>
      <c r="F5" s="3">
        <f>$C$5*F4</f>
        <v>0</v>
      </c>
      <c r="G5" s="3">
        <f>$C$5*G4</f>
        <v>0</v>
      </c>
      <c r="H5" s="3"/>
      <c r="I5" s="3"/>
      <c r="J5" s="3"/>
    </row>
    <row r="6" spans="1:13" x14ac:dyDescent="0.2">
      <c r="A6" t="s">
        <v>11</v>
      </c>
      <c r="B6" s="2" t="s">
        <v>4</v>
      </c>
      <c r="C6" s="3"/>
      <c r="D6" s="3">
        <f>$C$6*D4</f>
        <v>0</v>
      </c>
      <c r="E6" s="3">
        <f>$C$6*E4</f>
        <v>0</v>
      </c>
      <c r="F6" s="3">
        <f>$C$6*F4</f>
        <v>0</v>
      </c>
      <c r="G6" s="3">
        <f>$C$6*G4</f>
        <v>0</v>
      </c>
      <c r="H6" s="3"/>
      <c r="I6" s="3"/>
      <c r="J6" s="3"/>
    </row>
    <row r="7" spans="1:13" s="5" customFormat="1" x14ac:dyDescent="0.2">
      <c r="A7" s="5" t="s">
        <v>12</v>
      </c>
      <c r="B7" s="4" t="s">
        <v>4</v>
      </c>
    </row>
    <row r="8" spans="1:13" x14ac:dyDescent="0.2">
      <c r="A8">
        <v>2</v>
      </c>
      <c r="B8" s="2" t="s">
        <v>3</v>
      </c>
      <c r="C8" s="3">
        <v>1.5717870615541503</v>
      </c>
      <c r="D8" s="8">
        <f>$C8*D$4</f>
        <v>1.4342556936681621</v>
      </c>
      <c r="E8" s="8">
        <f t="shared" ref="E8:M13" si="6">$C8*E$4</f>
        <v>1.1591929578961859</v>
      </c>
      <c r="F8" s="8">
        <f t="shared" si="6"/>
        <v>0.74659885423822148</v>
      </c>
      <c r="G8" s="8">
        <f t="shared" si="6"/>
        <v>1.7551622187354678</v>
      </c>
      <c r="H8" s="8">
        <f t="shared" si="6"/>
        <v>1.3556663405904548</v>
      </c>
      <c r="I8" s="8">
        <f t="shared" si="6"/>
        <v>1.277076987512747</v>
      </c>
      <c r="J8" s="8">
        <f t="shared" si="6"/>
        <v>1.1984876344350395</v>
      </c>
      <c r="K8" s="8">
        <f t="shared" si="6"/>
        <v>1.5717867864914143</v>
      </c>
      <c r="L8" s="8">
        <f t="shared" si="6"/>
        <v>1.5715119988183783</v>
      </c>
      <c r="M8" s="8">
        <f t="shared" si="6"/>
        <v>0.19647338269426878</v>
      </c>
    </row>
    <row r="9" spans="1:13" x14ac:dyDescent="0.2">
      <c r="A9" t="s">
        <v>9</v>
      </c>
      <c r="B9" s="2" t="s">
        <v>4</v>
      </c>
      <c r="C9" s="3">
        <v>4.5368146151304201</v>
      </c>
      <c r="D9" s="8">
        <f>$C9*D$4</f>
        <v>4.1398433363065079</v>
      </c>
      <c r="E9" s="8">
        <f t="shared" ref="D9:H13" si="7">$C9*E$4</f>
        <v>3.345900778658685</v>
      </c>
      <c r="F9" s="8">
        <f t="shared" si="7"/>
        <v>2.1549869421869499</v>
      </c>
      <c r="G9" s="8">
        <f t="shared" si="6"/>
        <v>5.0661096535623029</v>
      </c>
      <c r="H9" s="8">
        <f t="shared" si="6"/>
        <v>3.9130026055499876</v>
      </c>
      <c r="I9" s="8">
        <f t="shared" si="6"/>
        <v>3.6861618747934664</v>
      </c>
      <c r="J9" s="8">
        <f t="shared" si="6"/>
        <v>3.4593211440369451</v>
      </c>
      <c r="K9" s="8">
        <f t="shared" si="6"/>
        <v>4.5368138211878621</v>
      </c>
      <c r="L9" s="8">
        <f t="shared" si="6"/>
        <v>4.5360206725727723</v>
      </c>
      <c r="M9" s="8">
        <f t="shared" si="6"/>
        <v>0.56710182689130251</v>
      </c>
    </row>
    <row r="10" spans="1:13" s="5" customFormat="1" x14ac:dyDescent="0.2">
      <c r="A10" s="6" t="s">
        <v>8</v>
      </c>
      <c r="B10" s="4" t="s">
        <v>5</v>
      </c>
      <c r="C10" s="5">
        <v>0.12311362661421299</v>
      </c>
      <c r="D10" s="9">
        <f t="shared" si="7"/>
        <v>0.11234118428546935</v>
      </c>
      <c r="E10" s="9">
        <f t="shared" si="7"/>
        <v>9.079629962798208E-2</v>
      </c>
      <c r="F10" s="9">
        <f t="shared" si="7"/>
        <v>5.8478972641751184E-2</v>
      </c>
      <c r="G10" s="9">
        <f t="shared" si="6"/>
        <v>0.13747688305253783</v>
      </c>
      <c r="H10" s="9">
        <f t="shared" si="6"/>
        <v>0.1061855029547587</v>
      </c>
      <c r="I10" s="9">
        <f t="shared" si="6"/>
        <v>0.10002982162404805</v>
      </c>
      <c r="J10" s="9">
        <f>$C10*J$4</f>
        <v>9.3874140293337405E-2</v>
      </c>
      <c r="K10" s="9">
        <f t="shared" si="6"/>
        <v>0.12311360506932832</v>
      </c>
      <c r="L10" s="9">
        <f t="shared" si="6"/>
        <v>0.12309208172955549</v>
      </c>
      <c r="M10" s="9">
        <f t="shared" si="6"/>
        <v>1.5389203326776624E-2</v>
      </c>
    </row>
    <row r="11" spans="1:13" x14ac:dyDescent="0.2">
      <c r="A11">
        <v>3</v>
      </c>
      <c r="B11" s="2" t="s">
        <v>3</v>
      </c>
      <c r="C11" s="3">
        <v>0.36268872424417997</v>
      </c>
      <c r="D11" s="8">
        <f t="shared" si="7"/>
        <v>0.33095346087281424</v>
      </c>
      <c r="E11" s="8">
        <f t="shared" si="7"/>
        <v>0.26748293413008273</v>
      </c>
      <c r="F11" s="8">
        <f t="shared" si="7"/>
        <v>0.17227714401598551</v>
      </c>
      <c r="G11" s="8">
        <f t="shared" si="6"/>
        <v>0.4050024087393343</v>
      </c>
      <c r="H11" s="8">
        <f t="shared" si="6"/>
        <v>0.31281902466060524</v>
      </c>
      <c r="I11" s="8">
        <f t="shared" si="6"/>
        <v>0.29468458844839623</v>
      </c>
      <c r="J11" s="8">
        <f t="shared" si="6"/>
        <v>0.27655015223618723</v>
      </c>
      <c r="K11" s="8">
        <f t="shared" si="6"/>
        <v>0.36268866077365319</v>
      </c>
      <c r="L11" s="8">
        <f t="shared" si="6"/>
        <v>0.3626252537174372</v>
      </c>
      <c r="M11" s="8">
        <f t="shared" si="6"/>
        <v>4.5336090530522496E-2</v>
      </c>
    </row>
    <row r="12" spans="1:13" x14ac:dyDescent="0.2">
      <c r="A12" t="s">
        <v>9</v>
      </c>
      <c r="B12" s="2" t="s">
        <v>4</v>
      </c>
      <c r="C12" s="3">
        <v>1.0526631027459998</v>
      </c>
      <c r="D12" s="8">
        <f t="shared" si="7"/>
        <v>0.96055508125572486</v>
      </c>
      <c r="E12" s="8">
        <f t="shared" si="7"/>
        <v>0.77633903827517492</v>
      </c>
      <c r="F12" s="8">
        <f t="shared" si="7"/>
        <v>0.50001497380435</v>
      </c>
      <c r="G12" s="8">
        <f t="shared" si="6"/>
        <v>1.1754737980663665</v>
      </c>
      <c r="H12" s="8">
        <f t="shared" si="6"/>
        <v>0.90792192611842493</v>
      </c>
      <c r="I12" s="8">
        <f t="shared" si="6"/>
        <v>0.85528877098112488</v>
      </c>
      <c r="J12" s="8">
        <f t="shared" si="6"/>
        <v>0.80265561584382483</v>
      </c>
      <c r="K12" s="8">
        <f t="shared" si="6"/>
        <v>1.0526629185299567</v>
      </c>
      <c r="L12" s="8">
        <f t="shared" si="6"/>
        <v>1.0524788867030193</v>
      </c>
      <c r="M12" s="8">
        <f t="shared" si="6"/>
        <v>0.13158288784324998</v>
      </c>
    </row>
    <row r="13" spans="1:13" s="5" customFormat="1" x14ac:dyDescent="0.2">
      <c r="A13" s="6" t="s">
        <v>10</v>
      </c>
      <c r="B13" s="4" t="s">
        <v>5</v>
      </c>
      <c r="C13" s="5">
        <v>8.4875029278919101E-2</v>
      </c>
      <c r="D13" s="9">
        <f t="shared" si="7"/>
        <v>7.7448464217013679E-2</v>
      </c>
      <c r="E13" s="9">
        <f t="shared" si="7"/>
        <v>6.2595334093202837E-2</v>
      </c>
      <c r="F13" s="9">
        <f t="shared" si="7"/>
        <v>4.031563890748658E-2</v>
      </c>
      <c r="G13" s="9">
        <f t="shared" si="6"/>
        <v>9.4777116028126329E-2</v>
      </c>
      <c r="H13" s="9">
        <f t="shared" si="6"/>
        <v>7.3204712753067724E-2</v>
      </c>
      <c r="I13" s="9">
        <f t="shared" si="6"/>
        <v>6.8960961289121769E-2</v>
      </c>
      <c r="J13" s="9">
        <f t="shared" si="6"/>
        <v>6.4717209825175814E-2</v>
      </c>
      <c r="K13" s="9">
        <f t="shared" si="6"/>
        <v>8.4875014425788972E-2</v>
      </c>
      <c r="L13" s="9">
        <f t="shared" si="6"/>
        <v>8.4860176148795291E-2</v>
      </c>
      <c r="M13" s="9">
        <f t="shared" si="6"/>
        <v>1.0609378659864888E-2</v>
      </c>
    </row>
    <row r="19" spans="8:8" x14ac:dyDescent="0.2">
      <c r="H19" s="1"/>
    </row>
    <row r="20" spans="8:8" x14ac:dyDescent="0.2">
      <c r="H20" s="1"/>
    </row>
    <row r="21" spans="8:8" x14ac:dyDescent="0.2">
      <c r="H21" s="1"/>
    </row>
    <row r="22" spans="8:8" x14ac:dyDescent="0.2">
      <c r="H22" s="1"/>
    </row>
    <row r="23" spans="8:8" x14ac:dyDescent="0.2">
      <c r="H23" s="1"/>
    </row>
    <row r="24" spans="8:8" x14ac:dyDescent="0.2">
      <c r="H24" s="1"/>
    </row>
  </sheetData>
  <mergeCells count="3">
    <mergeCell ref="D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Maiqi Yu</dc:creator>
  <cp:lastModifiedBy>Maiqi Yu</cp:lastModifiedBy>
  <dcterms:created xsi:type="dcterms:W3CDTF">2025-10-02T15:55:24Z</dcterms:created>
  <dcterms:modified xsi:type="dcterms:W3CDTF">2025-10-03T14:41:16Z</dcterms:modified>
</cp:coreProperties>
</file>